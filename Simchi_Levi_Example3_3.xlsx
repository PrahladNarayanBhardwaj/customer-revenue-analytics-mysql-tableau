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drawings/drawing3.xml" ContentType="application/vnd.openxmlformats-officedocument.drawing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ahlad/Desktop/"/>
    </mc:Choice>
  </mc:AlternateContent>
  <xr:revisionPtr revIDLastSave="0" documentId="13_ncr:1_{54529BB3-1D9B-C344-8B6C-04C6364197CE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Sheet1!$B$6:$C$7,Sheet1!$D$11:$E$13</definedName>
    <definedName name="solver_adj" localSheetId="1" hidden="1">Sheet2!$B$6:$D$7,Sheet2!$E$11:$G$14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itr" localSheetId="0" hidden="1">2147483647</definedName>
    <definedName name="solver_itr" localSheetId="1" hidden="1">2147483647</definedName>
    <definedName name="solver_lhs1" localSheetId="0" hidden="1">Sheet1!$D$14:$E$14</definedName>
    <definedName name="solver_lhs1" localSheetId="1" hidden="1">Sheet2!$E$15:$G$15</definedName>
    <definedName name="solver_lhs2" localSheetId="0" hidden="1">Sheet1!$E$7</definedName>
    <definedName name="solver_lhs2" localSheetId="1" hidden="1">Sheet2!$F$6:$F$7</definedName>
    <definedName name="solver_lhs3" localSheetId="0" hidden="1">Sheet1!$G$11:$G$13</definedName>
    <definedName name="solver_lhs3" localSheetId="1" hidden="1">Sheet2!$I$11:$I$14</definedName>
    <definedName name="solver_lin" localSheetId="0" hidden="1">1</definedName>
    <definedName name="solver_lin" localSheetId="1" hidden="1">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1" hidden="1">3</definedName>
    <definedName name="solver_opt" localSheetId="0" hidden="1">Sheet1!$B$19</definedName>
    <definedName name="solver_opt" localSheetId="1" hidden="1">Sheet2!$B$20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2</definedName>
    <definedName name="solver_rel1" localSheetId="1" hidden="1">2</definedName>
    <definedName name="solver_rel2" localSheetId="0" hidden="1">3</definedName>
    <definedName name="solver_rel2" localSheetId="1" hidden="1">3</definedName>
    <definedName name="solver_rel3" localSheetId="0" hidden="1">3</definedName>
    <definedName name="solver_rel3" localSheetId="1" hidden="1">3</definedName>
    <definedName name="solver_rhs1" localSheetId="0" hidden="1">0</definedName>
    <definedName name="solver_rhs1" localSheetId="1" hidden="1">0</definedName>
    <definedName name="solver_rhs2" localSheetId="0" hidden="1">0</definedName>
    <definedName name="solver_rhs2" localSheetId="1" hidden="1">0</definedName>
    <definedName name="solver_rhs3" localSheetId="0" hidden="1">0</definedName>
    <definedName name="solver_rhs3" localSheetId="1" hidden="1">0</definedName>
    <definedName name="solver_rlx" localSheetId="0" hidden="1">1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I12" i="3"/>
  <c r="B20" i="3"/>
  <c r="G15" i="3"/>
  <c r="F15" i="3"/>
  <c r="E15" i="3"/>
  <c r="I14" i="3"/>
  <c r="I13" i="3"/>
  <c r="I11" i="3"/>
  <c r="F6" i="3"/>
  <c r="I13" i="2"/>
  <c r="I12" i="2"/>
  <c r="I11" i="2"/>
  <c r="B20" i="2"/>
  <c r="E15" i="2"/>
  <c r="F15" i="2"/>
  <c r="G15" i="2"/>
  <c r="I14" i="2"/>
  <c r="F7" i="2"/>
  <c r="F6" i="2"/>
  <c r="E7" i="1"/>
  <c r="B19" i="1"/>
  <c r="D14" i="1"/>
  <c r="G11" i="1"/>
  <c r="G12" i="1"/>
  <c r="G13" i="1"/>
  <c r="E14" i="1"/>
  <c r="J11" i="3"/>
  <c r="G7" i="3"/>
  <c r="J14" i="3"/>
  <c r="J13" i="3"/>
  <c r="D15" i="3"/>
  <c r="C20" i="3"/>
  <c r="G16" i="3"/>
  <c r="F16" i="3"/>
  <c r="J12" i="3"/>
  <c r="G16" i="2"/>
  <c r="J14" i="2"/>
  <c r="D15" i="2"/>
  <c r="C20" i="2"/>
  <c r="F16" i="2"/>
  <c r="J11" i="2"/>
  <c r="G7" i="2"/>
  <c r="J13" i="2"/>
  <c r="J12" i="2"/>
  <c r="F14" i="1"/>
  <c r="H13" i="1"/>
  <c r="H12" i="1"/>
  <c r="H11" i="1"/>
  <c r="C14" i="1"/>
  <c r="F7" i="1"/>
  <c r="C19" i="1"/>
</calcChain>
</file>

<file path=xl/sharedStrings.xml><?xml version="1.0" encoding="utf-8"?>
<sst xmlns="http://schemas.openxmlformats.org/spreadsheetml/2006/main" count="65" uniqueCount="21">
  <si>
    <t>Simchi-Levi textbook, Example 3-3</t>
  </si>
  <si>
    <t>Cost from Plant 1</t>
  </si>
  <si>
    <t>Cost from Plant 2</t>
  </si>
  <si>
    <t>Flow from Plant 1</t>
  </si>
  <si>
    <t>Flow from Plant 2</t>
  </si>
  <si>
    <t>Cost from Warehouse 1</t>
  </si>
  <si>
    <t>Cost from Warehouse 2</t>
  </si>
  <si>
    <t>To customer 1</t>
  </si>
  <si>
    <t>To customer 2</t>
  </si>
  <si>
    <t>To customer 3</t>
  </si>
  <si>
    <t>Total cost</t>
  </si>
  <si>
    <t>Capacity</t>
  </si>
  <si>
    <t>Unused capacity</t>
  </si>
  <si>
    <t>Demands</t>
  </si>
  <si>
    <t>Unmet demand</t>
  </si>
  <si>
    <t>Flow to Warehouse 1</t>
  </si>
  <si>
    <t>Flow to Warehouse 2</t>
  </si>
  <si>
    <t>Flow to Warehouse 3</t>
  </si>
  <si>
    <t>To customer 4</t>
  </si>
  <si>
    <t>Cost from Warehouse 3</t>
  </si>
  <si>
    <t>Flow to warehouse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</si>
</sst>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ustomXml" Target="../ink/ink4.xml"/><Relationship Id="rId7" Type="http://schemas.openxmlformats.org/officeDocument/2006/relationships/customXml" Target="../ink/ink6.xml"/><Relationship Id="rId2" Type="http://schemas.openxmlformats.org/officeDocument/2006/relationships/image" Target="../media/image3.png"/><Relationship Id="rId1" Type="http://schemas.openxmlformats.org/officeDocument/2006/relationships/customXml" Target="../ink/ink3.xml"/><Relationship Id="rId6" Type="http://schemas.openxmlformats.org/officeDocument/2006/relationships/image" Target="../media/image5.png"/><Relationship Id="rId11" Type="http://schemas.openxmlformats.org/officeDocument/2006/relationships/image" Target="../media/image7.png"/><Relationship Id="rId5" Type="http://schemas.openxmlformats.org/officeDocument/2006/relationships/customXml" Target="../ink/ink5.xml"/><Relationship Id="rId10" Type="http://schemas.openxmlformats.org/officeDocument/2006/relationships/customXml" Target="../ink/ink8.xml"/><Relationship Id="rId4" Type="http://schemas.openxmlformats.org/officeDocument/2006/relationships/image" Target="../media/image4.png"/><Relationship Id="rId9" Type="http://schemas.openxmlformats.org/officeDocument/2006/relationships/customXml" Target="../ink/ink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8.png"/><Relationship Id="rId3" Type="http://schemas.openxmlformats.org/officeDocument/2006/relationships/customXml" Target="../ink/ink10.xml"/><Relationship Id="rId7" Type="http://schemas.openxmlformats.org/officeDocument/2006/relationships/customXml" Target="../ink/ink12.xml"/><Relationship Id="rId12" Type="http://schemas.openxmlformats.org/officeDocument/2006/relationships/customXml" Target="../ink/ink15.xml"/><Relationship Id="rId17" Type="http://schemas.openxmlformats.org/officeDocument/2006/relationships/image" Target="../media/image10.png"/><Relationship Id="rId2" Type="http://schemas.openxmlformats.org/officeDocument/2006/relationships/image" Target="../media/image3.png"/><Relationship Id="rId16" Type="http://schemas.openxmlformats.org/officeDocument/2006/relationships/customXml" Target="../ink/ink17.xml"/><Relationship Id="rId1" Type="http://schemas.openxmlformats.org/officeDocument/2006/relationships/customXml" Target="../ink/ink9.xml"/><Relationship Id="rId6" Type="http://schemas.openxmlformats.org/officeDocument/2006/relationships/image" Target="../media/image5.png"/><Relationship Id="rId11" Type="http://schemas.openxmlformats.org/officeDocument/2006/relationships/image" Target="../media/image7.png"/><Relationship Id="rId5" Type="http://schemas.openxmlformats.org/officeDocument/2006/relationships/customXml" Target="../ink/ink11.xml"/><Relationship Id="rId15" Type="http://schemas.openxmlformats.org/officeDocument/2006/relationships/image" Target="../media/image9.png"/><Relationship Id="rId10" Type="http://schemas.openxmlformats.org/officeDocument/2006/relationships/customXml" Target="../ink/ink14.xml"/><Relationship Id="rId4" Type="http://schemas.openxmlformats.org/officeDocument/2006/relationships/image" Target="../media/image4.png"/><Relationship Id="rId9" Type="http://schemas.openxmlformats.org/officeDocument/2006/relationships/customXml" Target="../ink/ink13.xml"/><Relationship Id="rId14" Type="http://schemas.openxmlformats.org/officeDocument/2006/relationships/customXml" Target="../ink/ink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1159689</xdr:colOff>
      <xdr:row>6</xdr:row>
      <xdr:rowOff>63427</xdr:rowOff>
    </xdr:from>
    <xdr:to>
      <xdr:col>4</xdr:col>
      <xdr:colOff>1427169</xdr:colOff>
      <xdr:row>6</xdr:row>
      <xdr:rowOff>92587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114574D-084E-C447-D240-C6891C1897E7}"/>
                </a:ext>
              </a:extLst>
            </xdr14:cNvPr>
            <xdr14:cNvContentPartPr/>
          </xdr14:nvContentPartPr>
          <xdr14:nvPr macro=""/>
          <xdr14:xfrm>
            <a:off x="7950960" y="1225800"/>
            <a:ext cx="267480" cy="291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114574D-084E-C447-D240-C6891C1897E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896960" y="1117800"/>
              <a:ext cx="375120" cy="24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1472111</xdr:colOff>
      <xdr:row>6</xdr:row>
      <xdr:rowOff>88627</xdr:rowOff>
    </xdr:from>
    <xdr:to>
      <xdr:col>2</xdr:col>
      <xdr:colOff>665494</xdr:colOff>
      <xdr:row>6</xdr:row>
      <xdr:rowOff>136507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98B1A21-76F8-1D10-2DF6-5492491A038C}"/>
                </a:ext>
              </a:extLst>
            </xdr14:cNvPr>
            <xdr14:cNvContentPartPr/>
          </xdr14:nvContentPartPr>
          <xdr14:nvPr macro=""/>
          <xdr14:xfrm>
            <a:off x="3570840" y="1251000"/>
            <a:ext cx="689400" cy="478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98B1A21-76F8-1D10-2DF6-5492491A038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516840" y="1143000"/>
              <a:ext cx="797040" cy="263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558360</xdr:colOff>
      <xdr:row>3</xdr:row>
      <xdr:rowOff>80521</xdr:rowOff>
    </xdr:from>
    <xdr:to>
      <xdr:col>0</xdr:col>
      <xdr:colOff>1154160</xdr:colOff>
      <xdr:row>3</xdr:row>
      <xdr:rowOff>80881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57DDF30-72BE-C923-5691-E4CA5AFB289D}"/>
                </a:ext>
              </a:extLst>
            </xdr14:cNvPr>
            <xdr14:cNvContentPartPr/>
          </xdr14:nvContentPartPr>
          <xdr14:nvPr macro=""/>
          <xdr14:xfrm>
            <a:off x="558360" y="650880"/>
            <a:ext cx="59580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57DDF30-72BE-C923-5691-E4CA5AFB28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04360" y="542880"/>
              <a:ext cx="70344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571320</xdr:colOff>
      <xdr:row>4</xdr:row>
      <xdr:rowOff>89481</xdr:rowOff>
    </xdr:from>
    <xdr:to>
      <xdr:col>0</xdr:col>
      <xdr:colOff>1073880</xdr:colOff>
      <xdr:row>4</xdr:row>
      <xdr:rowOff>92721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1F90E6E-B2CB-ACA5-624A-FBDB603BF9BD}"/>
                </a:ext>
              </a:extLst>
            </xdr14:cNvPr>
            <xdr14:cNvContentPartPr/>
          </xdr14:nvContentPartPr>
          <xdr14:nvPr macro=""/>
          <xdr14:xfrm>
            <a:off x="571320" y="849960"/>
            <a:ext cx="502560" cy="32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1F90E6E-B2CB-ACA5-624A-FBDB603BF9B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17680" y="741960"/>
              <a:ext cx="61020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529438</xdr:colOff>
      <xdr:row>1</xdr:row>
      <xdr:rowOff>105080</xdr:rowOff>
    </xdr:from>
    <xdr:to>
      <xdr:col>1</xdr:col>
      <xdr:colOff>1234318</xdr:colOff>
      <xdr:row>1</xdr:row>
      <xdr:rowOff>105440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A3E762E2-B5DB-24C9-65CB-68AE5FE5BFA1}"/>
                </a:ext>
              </a:extLst>
            </xdr14:cNvPr>
            <xdr14:cNvContentPartPr/>
          </xdr14:nvContentPartPr>
          <xdr14:nvPr macro=""/>
          <xdr14:xfrm>
            <a:off x="2628360" y="295200"/>
            <a:ext cx="704880" cy="3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3E762E2-B5DB-24C9-65CB-68AE5FE5BFA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574720" y="187560"/>
              <a:ext cx="81252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783052</xdr:colOff>
      <xdr:row>1</xdr:row>
      <xdr:rowOff>113720</xdr:rowOff>
    </xdr:from>
    <xdr:to>
      <xdr:col>2</xdr:col>
      <xdr:colOff>1278412</xdr:colOff>
      <xdr:row>1</xdr:row>
      <xdr:rowOff>118760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F69C07E-C200-1669-B5EE-8A50BE550DB8}"/>
                </a:ext>
              </a:extLst>
            </xdr14:cNvPr>
            <xdr14:cNvContentPartPr/>
          </xdr14:nvContentPartPr>
          <xdr14:nvPr macro=""/>
          <xdr14:xfrm>
            <a:off x="4319280" y="303840"/>
            <a:ext cx="495360" cy="50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F69C07E-C200-1669-B5EE-8A50BE550DB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265280" y="196200"/>
              <a:ext cx="603000" cy="2206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646165</xdr:colOff>
      <xdr:row>1</xdr:row>
      <xdr:rowOff>106115</xdr:rowOff>
    </xdr:from>
    <xdr:ext cx="495360" cy="50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0EE2BFE-D32E-124C-9689-1B034971D133}"/>
                </a:ext>
              </a:extLst>
            </xdr14:cNvPr>
            <xdr14:cNvContentPartPr/>
          </xdr14:nvContentPartPr>
          <xdr14:nvPr macro=""/>
          <xdr14:xfrm>
            <a:off x="5961914" y="296235"/>
            <a:ext cx="495360" cy="504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0EE2BFE-D32E-124C-9689-1B034971D13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907914" y="188595"/>
              <a:ext cx="603000" cy="2206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349560</xdr:colOff>
      <xdr:row>13</xdr:row>
      <xdr:rowOff>94163</xdr:rowOff>
    </xdr:from>
    <xdr:to>
      <xdr:col>0</xdr:col>
      <xdr:colOff>981360</xdr:colOff>
      <xdr:row>13</xdr:row>
      <xdr:rowOff>94523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CB3CA86-D1A3-F32F-A430-1BBD5A9B07A3}"/>
                </a:ext>
              </a:extLst>
            </xdr14:cNvPr>
            <xdr14:cNvContentPartPr/>
          </xdr14:nvContentPartPr>
          <xdr14:nvPr macro=""/>
          <xdr14:xfrm>
            <a:off x="349560" y="2565720"/>
            <a:ext cx="631800" cy="3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CB3CA86-D1A3-F32F-A430-1BBD5A9B07A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95560" y="2457720"/>
              <a:ext cx="739440" cy="21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558360</xdr:colOff>
      <xdr:row>3</xdr:row>
      <xdr:rowOff>80521</xdr:rowOff>
    </xdr:from>
    <xdr:to>
      <xdr:col>0</xdr:col>
      <xdr:colOff>1001760</xdr:colOff>
      <xdr:row>3</xdr:row>
      <xdr:rowOff>80881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EBECA00-F6E2-5B41-B9FB-D568C9396A86}"/>
                </a:ext>
              </a:extLst>
            </xdr14:cNvPr>
            <xdr14:cNvContentPartPr/>
          </xdr14:nvContentPartPr>
          <xdr14:nvPr macro=""/>
          <xdr14:xfrm>
            <a:off x="558360" y="650880"/>
            <a:ext cx="59580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EBECA00-F6E2-5B41-B9FB-D568C9396A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85819" y="542880"/>
              <a:ext cx="740398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571320</xdr:colOff>
      <xdr:row>4</xdr:row>
      <xdr:rowOff>89481</xdr:rowOff>
    </xdr:from>
    <xdr:to>
      <xdr:col>0</xdr:col>
      <xdr:colOff>921480</xdr:colOff>
      <xdr:row>4</xdr:row>
      <xdr:rowOff>92721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DAABC37-03AB-424A-9D5B-77005F18792A}"/>
                </a:ext>
              </a:extLst>
            </xdr14:cNvPr>
            <xdr14:cNvContentPartPr/>
          </xdr14:nvContentPartPr>
          <xdr14:nvPr macro=""/>
          <xdr14:xfrm>
            <a:off x="571320" y="849960"/>
            <a:ext cx="502560" cy="32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DAABC37-03AB-424A-9D5B-77005F18792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93924" y="741960"/>
              <a:ext cx="656837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529438</xdr:colOff>
      <xdr:row>1</xdr:row>
      <xdr:rowOff>105080</xdr:rowOff>
    </xdr:from>
    <xdr:to>
      <xdr:col>1</xdr:col>
      <xdr:colOff>1081918</xdr:colOff>
      <xdr:row>1</xdr:row>
      <xdr:rowOff>105440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74BA881-64AD-6740-ACDB-E3AFA7126580}"/>
                </a:ext>
              </a:extLst>
            </xdr14:cNvPr>
            <xdr14:cNvContentPartPr/>
          </xdr14:nvContentPartPr>
          <xdr14:nvPr macro=""/>
          <xdr14:xfrm>
            <a:off x="2628360" y="295200"/>
            <a:ext cx="704880" cy="3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74BA881-64AD-6740-ACDB-E3AFA71265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559938" y="187560"/>
              <a:ext cx="842182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783052</xdr:colOff>
      <xdr:row>1</xdr:row>
      <xdr:rowOff>113720</xdr:rowOff>
    </xdr:from>
    <xdr:to>
      <xdr:col>2</xdr:col>
      <xdr:colOff>1240312</xdr:colOff>
      <xdr:row>1</xdr:row>
      <xdr:rowOff>118760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D4B5FCC-A08B-CA46-A99C-B2B4B598955A}"/>
                </a:ext>
              </a:extLst>
            </xdr14:cNvPr>
            <xdr14:cNvContentPartPr/>
          </xdr14:nvContentPartPr>
          <xdr14:nvPr macro=""/>
          <xdr14:xfrm>
            <a:off x="4319280" y="303840"/>
            <a:ext cx="495360" cy="50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D4B5FCC-A08B-CA46-A99C-B2B4B598955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265280" y="196200"/>
              <a:ext cx="603000" cy="2206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646165</xdr:colOff>
      <xdr:row>1</xdr:row>
      <xdr:rowOff>106115</xdr:rowOff>
    </xdr:from>
    <xdr:ext cx="495360" cy="50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F937F26-DD07-6B41-96AE-3CF975C1A8BF}"/>
                </a:ext>
              </a:extLst>
            </xdr14:cNvPr>
            <xdr14:cNvContentPartPr/>
          </xdr14:nvContentPartPr>
          <xdr14:nvPr macro=""/>
          <xdr14:xfrm>
            <a:off x="5961914" y="296235"/>
            <a:ext cx="495360" cy="504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F937F26-DD07-6B41-96AE-3CF975C1A8B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907914" y="188595"/>
              <a:ext cx="603000" cy="2206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349560</xdr:colOff>
      <xdr:row>13</xdr:row>
      <xdr:rowOff>94163</xdr:rowOff>
    </xdr:from>
    <xdr:to>
      <xdr:col>0</xdr:col>
      <xdr:colOff>828960</xdr:colOff>
      <xdr:row>13</xdr:row>
      <xdr:rowOff>94523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F903E795-8D68-534B-9ABA-032C38E043D8}"/>
                </a:ext>
              </a:extLst>
            </xdr14:cNvPr>
            <xdr14:cNvContentPartPr/>
          </xdr14:nvContentPartPr>
          <xdr14:nvPr macro=""/>
          <xdr14:xfrm>
            <a:off x="349560" y="2565720"/>
            <a:ext cx="631800" cy="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F903E795-8D68-534B-9ABA-032C38E043D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78411" y="2457720"/>
              <a:ext cx="773623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1266020</xdr:colOff>
      <xdr:row>13</xdr:row>
      <xdr:rowOff>115140</xdr:rowOff>
    </xdr:from>
    <xdr:to>
      <xdr:col>8</xdr:col>
      <xdr:colOff>30680</xdr:colOff>
      <xdr:row>13</xdr:row>
      <xdr:rowOff>145740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EAC1AD31-2F1C-BC39-741B-F65D74B6AE10}"/>
                </a:ext>
              </a:extLst>
            </xdr14:cNvPr>
            <xdr14:cNvContentPartPr/>
          </xdr14:nvContentPartPr>
          <xdr14:nvPr macro=""/>
          <xdr14:xfrm>
            <a:off x="12708720" y="2591640"/>
            <a:ext cx="479160" cy="3060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EAC1AD31-2F1C-BC39-741B-F65D74B6AE1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655080" y="2483640"/>
              <a:ext cx="586800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66600</xdr:colOff>
      <xdr:row>19</xdr:row>
      <xdr:rowOff>44220</xdr:rowOff>
    </xdr:from>
    <xdr:to>
      <xdr:col>1</xdr:col>
      <xdr:colOff>1433940</xdr:colOff>
      <xdr:row>19</xdr:row>
      <xdr:rowOff>89220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90F3DBAF-3A44-CEC5-4863-88EA9DB19466}"/>
                </a:ext>
              </a:extLst>
            </xdr14:cNvPr>
            <xdr14:cNvContentPartPr/>
          </xdr14:nvContentPartPr>
          <xdr14:nvPr macro=""/>
          <xdr14:xfrm>
            <a:off x="66600" y="3663720"/>
            <a:ext cx="3462840" cy="4500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90F3DBAF-3A44-CEC5-4863-88EA9DB1946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960" y="3555720"/>
              <a:ext cx="357048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717640</xdr:colOff>
      <xdr:row>5</xdr:row>
      <xdr:rowOff>122460</xdr:rowOff>
    </xdr:from>
    <xdr:to>
      <xdr:col>5</xdr:col>
      <xdr:colOff>13620</xdr:colOff>
      <xdr:row>5</xdr:row>
      <xdr:rowOff>122820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D58A65B-A44C-0925-377E-06BC05BA8162}"/>
                </a:ext>
              </a:extLst>
            </xdr14:cNvPr>
            <xdr14:cNvContentPartPr/>
          </xdr14:nvContentPartPr>
          <xdr14:nvPr macro=""/>
          <xdr14:xfrm>
            <a:off x="7829640" y="1074960"/>
            <a:ext cx="604080" cy="36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D58A65B-A44C-0925-377E-06BC05BA816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775640" y="967320"/>
              <a:ext cx="711720" cy="21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20:33:53.510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742 0,'-45'0,"7"0,25 0,0 0,-6 0,3 0,-6 0,6 2,-5 1,-9 3,-3 3,0-1,6 0,9-2,5-2,-2-1,1 2,-2-3,-4 2,9-3,-8-1,3 0,2 0,-9 0,3 0,-15 3,-3 1,-2 1,6-2,8-3,8 0,4 2,2 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20:33:55.475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0 0,'94'0,"-1"0,3 0,0 0,2 0,0 0,0 0,-2 0,-8 1,-2 1,-7 1,-4 1,-13 2,-4 2,-7 0,-3 1,34 7,-19-3,-3-4,-9-2,-7 0,-6-1,-7 0,2-4,-4 2,4-1,-1 0,-2 0,-2 0,-5 0,-11 0,-3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19:05:30.335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1655 0,'-71'0,"1"0,7 0,-8 0,-7 0,-7 0,-9 0,3 0,5 0,7 0,4 0,-3 0,-2 0,3 0,9 0,11 0,10 0,4 0,-2 0,-3 0,-4 0,0 0,6 0,9 0,8 0,11 0,9 0,3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19:05:31.818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1396 8,'-53'0,"-8"0,-5 0,-23 0,37 0,-2 0,-6 0,-1 0,-1 0,-1 0,1 0,0 0,5 0,1 0,-37 0,12 0,17 0,10 0,17 0,11-1,6-1,4-1,-1 1,0 2,0 0,0 0,0 0,0 0,0 0,3 0,1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19:05:40.851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1 1,'90'0,"0"0,-3 0,6 0,4 0,-13 0,3 0,1 0,1 0,4 0,2 0,-1 0,-4 0,-10 0,-2 0,-3 0,-4 0,1 0,-5 0,-5 0,11 0,-10 0,5 0,-33 0,-14 0,-12 0,-3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19:05:42.085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0 1,'58'0,"0"0,15 0,4 0,-10 0,3 0,1 0,2 0,1 0,-3 0,22 0,-6 0,-21 0,-7 0,6 0,-35 0,-8 0,8 0,10 0,7 0,1 2,-12 1,-8 0,-11 0,-7-2,-4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19:05:57.554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0 1,'58'0,"0"0,15 0,4 0,-10 0,3 0,1 0,2 0,1 0,-3 0,22 0,-6 0,-21 0,-7 0,6 0,-35 0,-8 0,8 0,10 0,7 0,1 2,-12 1,-8 0,-11 0,-7-2,-4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19:09:42.153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1754 0,'-53'0,"-1"0,-5 0,-1 0,3 0,-1 0,-10 0,-4 0,-9 0,-2 0,1 0,0 0,-6 0,1 0,7 0,4 0,12 0,4 0,-39 0,36 0,12 0,4 0,6 0,4 0,5 0,5 0,0 0,3 0,2 0,10 0,4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20:57:15.614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1232 0,'-53'0,"1"0,5 0,-6 0,-5 0,-5 0,-7 0,2 0,4 0,5 0,4 0,-4 0,0 0,2 0,6 0,9 0,6 0,5 0,-3 0,-2 0,-3 0,1 0,3 0,8 0,6 0,7 0,7 0,3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20:57:15.615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973 8,'-37'0,"-5"0,-5 0,-15 0,26 0,-1 0,-5 0,-1 0,0 0,-1 0,1 0,0 0,3 0,1 0,-26 0,9 0,11 0,8 0,11 0,8-1,4-1,2-1,0 1,1 2,-1 0,0 0,0 0,1 0,-2 0,4 0,-1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20:57:15.616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1 1,'70'0,"1"0,-3 0,5 0,3 0,-10 0,2 0,1 0,1 0,3 0,1 0,0 0,-3 0,-9 0,-1 0,-2 0,-3 0,0 0,-4 0,-2 0,7 0,-8 0,4 0,-25 0,-12 0,-9 0,-2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20:57:15.617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0 1,'58'0,"0"0,15 0,4 0,-10 0,3 0,1 0,2 0,1 0,-3 0,22 0,-6 0,-21 0,-7 0,6 0,-35 0,-8 0,8 0,10 0,7 0,1 2,-12 1,-8 0,-11 0,-7-2,-4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20:57:15.618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0 1,'58'0,"0"0,15 0,4 0,-10 0,3 0,1 0,2 0,1 0,-3 0,22 0,-6 0,-21 0,-7 0,6 0,-35 0,-8 0,8 0,10 0,7 0,1 2,-12 1,-8 0,-11 0,-7-2,-4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20:57:15.619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1331 0,'-40'0,"-1"0,-4 0,0 0,2 0,-1 0,-8 0,-3 0,-7 0,0 0,0 0,-1 0,-3 0,-1 0,7 0,2 0,10 0,2 0,-29 0,27 0,9 0,4 0,3 0,4 0,4 0,4 0,-1 0,3 0,1 0,8 0,3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20:58:04.721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1331 0,'-45'0,"3"0,10 0,-3 0,0 0,2 0,-1 0,-1 0,-5 0,0 0,9 2,2 1,9 0,3 0,1-3,0 0,-1 0,-3 0,3 0,2 1,-5 2,7 0,-6 0,3-3,4 0,-13 1,10-1,-5 0,7 0,-2 0,-1 0,0 2,-3 2,-3 0,-3-1,-3-1,-1 1,-4 1,-2-1,0 1,2 0,5-1,4 0,0-3,0 0,1 2,-2 2,4-1,5 0,-3-2,7-1,-7 0,2 4,2-3,-4 4,3-5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20:58:11.454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1 124,'51'0,"0"0,9 0,4 0,18 0,6 0,-19 0,4 0,1 0,9 0,2 0,0 0,3 0,0 0,2 0,-16 0,1 1,2-1,0-1,6 0,1-1,1 0,1 0,3 0,2 0,1-1,0 0,3 0,2-2,-1 1,-2-1,-9 1,0 0,-3 0,-2-1,12 1,-3-1,-4 0,-12 0,-2 0,-5 1,13 0,-6 1,-13 0,-3 1,35 2,-24 0,-9 0,-5 0,-6 0,-2 0,-6 0,0 0,2 0,4-2,5-2,6 0,3 1,3 2,6 1,-2-4,3-1,0 0,-3 0,1 5,-3 0,-1 0,-3 0,-3 0,-5 0,-1 0,1 0,0 0,7 0,0 0,5 0,6 0,-3 0,11 0,2 0,0 0,2 0,-5 0,-1 0,1 0,-6 0,-2 0,-4 0,-5 0,0 0,-2 0,2 0,3 0,7 0,9 0,17 0,-44 0,1 0,3 0,1 0,1 0,1 0,-3 0,0 0,-2 0,-2 0,45 0,-13 0,-5 0,-8 0,-6 3,-3 2,-3 2,0 2,5-1,-3-1,4 2,4-2,2 1,5 1,1-3,-2-2,-4 0,-15 0,-12-1,-12 0,-5-3,0 0,0 0,0 0,0 0,0 0,0 0,1 0,-1 0,0 0,0 0,0 0,6 0,5 0,6 0,2 0,-7 0,-6 0,-5 0,-3 0,-6 1,-6 1,3 1,-5-1,7-1,-3 0,-2 1,5 2,-3-2,2-1,-4-1,0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1-29T20:58:16.656"/>
    </inkml:context>
    <inkml:brush xml:id="br0">
      <inkml:brushProperty name="width" value="0.3" units="cm"/>
      <inkml:brushProperty name="height" value="0.6" units="cm"/>
      <inkml:brushProperty name="color" value="#FFF565"/>
      <inkml:brushProperty name="tip" value="rectangle"/>
      <inkml:brushProperty name="rasterOp" value="maskPen"/>
    </inkml:brush>
  </inkml:definitions>
  <inkml:trace contextRef="#ctx0" brushRef="#br0">1677 1,'-57'0,"0"0,-42 0,17 0,-2 0,0 0,-4 0,3 0,7 0,0 0,0 0,5 0,1 0,1 0,5 0,1 0,7 0,6 0,6 0,6 0,1 0,8 0,1 0,1 0,6 0,-2 0,1 0,1 0,3 0,7 0,6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opLeftCell="A2" zoomScale="118" workbookViewId="0">
      <selection activeCell="E25" sqref="E25"/>
    </sheetView>
  </sheetViews>
  <sheetFormatPr baseColWidth="10" defaultColWidth="8.83203125" defaultRowHeight="15" x14ac:dyDescent="0.2"/>
  <cols>
    <col min="1" max="1" width="27.5" bestFit="1" customWidth="1"/>
    <col min="2" max="2" width="19.6640625" bestFit="1" customWidth="1"/>
    <col min="3" max="3" width="23.1640625" bestFit="1" customWidth="1"/>
    <col min="4" max="5" width="18.83203125" customWidth="1"/>
    <col min="6" max="6" width="9" customWidth="1"/>
    <col min="7" max="7" width="13.5" bestFit="1" customWidth="1"/>
    <col min="8" max="8" width="20.83203125" bestFit="1" customWidth="1"/>
  </cols>
  <sheetData>
    <row r="1" spans="1:8" x14ac:dyDescent="0.2">
      <c r="A1" t="s">
        <v>0</v>
      </c>
    </row>
    <row r="2" spans="1:8" x14ac:dyDescent="0.2">
      <c r="B2" t="s">
        <v>15</v>
      </c>
      <c r="C2" t="s">
        <v>16</v>
      </c>
      <c r="D2" t="s">
        <v>11</v>
      </c>
      <c r="E2" t="s">
        <v>12</v>
      </c>
    </row>
    <row r="4" spans="1:8" x14ac:dyDescent="0.2">
      <c r="A4" t="s">
        <v>1</v>
      </c>
      <c r="B4" s="2">
        <v>0</v>
      </c>
      <c r="C4" s="2">
        <v>5</v>
      </c>
    </row>
    <row r="5" spans="1:8" x14ac:dyDescent="0.2">
      <c r="A5" t="s">
        <v>2</v>
      </c>
      <c r="B5" s="2">
        <v>4</v>
      </c>
      <c r="C5" s="2">
        <v>2</v>
      </c>
    </row>
    <row r="6" spans="1:8" x14ac:dyDescent="0.2">
      <c r="A6" t="s">
        <v>3</v>
      </c>
      <c r="B6" s="3">
        <v>130000</v>
      </c>
      <c r="C6" s="2">
        <v>0</v>
      </c>
    </row>
    <row r="7" spans="1:8" x14ac:dyDescent="0.2">
      <c r="A7" t="s">
        <v>4</v>
      </c>
      <c r="B7" s="2">
        <v>0</v>
      </c>
      <c r="C7" s="3">
        <v>70000</v>
      </c>
      <c r="D7">
        <v>70000</v>
      </c>
      <c r="E7">
        <f>D7-SUM(B7:C7)</f>
        <v>0</v>
      </c>
      <c r="F7" t="str">
        <f ca="1">_xlfn.FORMULATEXT(E7)</f>
        <v>=D7-SUM(B7:C7)</v>
      </c>
    </row>
    <row r="10" spans="1:8" x14ac:dyDescent="0.2">
      <c r="B10" t="s">
        <v>5</v>
      </c>
      <c r="C10" t="s">
        <v>6</v>
      </c>
      <c r="D10" t="s">
        <v>15</v>
      </c>
      <c r="E10" t="s">
        <v>16</v>
      </c>
      <c r="F10" t="s">
        <v>13</v>
      </c>
      <c r="G10" t="s">
        <v>14</v>
      </c>
    </row>
    <row r="11" spans="1:8" x14ac:dyDescent="0.2">
      <c r="A11" t="s">
        <v>7</v>
      </c>
      <c r="B11" s="2">
        <v>3</v>
      </c>
      <c r="C11" s="2">
        <v>2</v>
      </c>
      <c r="D11" s="1">
        <v>50000</v>
      </c>
      <c r="E11">
        <v>0</v>
      </c>
      <c r="F11">
        <v>50000</v>
      </c>
      <c r="G11" s="1">
        <f>SUM(D11:E11)-F11</f>
        <v>0</v>
      </c>
      <c r="H11" t="str">
        <f ca="1">_xlfn.FORMULATEXT(G11)</f>
        <v>=SUM(D11:E11)-F11</v>
      </c>
    </row>
    <row r="12" spans="1:8" x14ac:dyDescent="0.2">
      <c r="A12" t="s">
        <v>8</v>
      </c>
      <c r="B12" s="2">
        <v>4</v>
      </c>
      <c r="C12" s="2">
        <v>1</v>
      </c>
      <c r="D12">
        <v>80000</v>
      </c>
      <c r="E12">
        <v>20000</v>
      </c>
      <c r="F12">
        <v>100000</v>
      </c>
      <c r="G12" s="1">
        <f>SUM(D12:E12)-F12</f>
        <v>0</v>
      </c>
      <c r="H12" s="1" t="str">
        <f ca="1">_xlfn.FORMULATEXT(G12)</f>
        <v>=SUM(D12:E12)-F12</v>
      </c>
    </row>
    <row r="13" spans="1:8" x14ac:dyDescent="0.2">
      <c r="A13" t="s">
        <v>9</v>
      </c>
      <c r="B13" s="2">
        <v>5</v>
      </c>
      <c r="C13" s="2">
        <v>2</v>
      </c>
      <c r="D13">
        <v>0</v>
      </c>
      <c r="E13">
        <v>50000</v>
      </c>
      <c r="F13">
        <v>50000</v>
      </c>
      <c r="G13">
        <f>SUM(D13:E13)-F13</f>
        <v>0</v>
      </c>
      <c r="H13" t="str">
        <f ca="1">_xlfn.FORMULATEXT(G13)</f>
        <v>=SUM(D13:E13)-F13</v>
      </c>
    </row>
    <row r="14" spans="1:8" x14ac:dyDescent="0.2">
      <c r="C14" t="str">
        <f ca="1">_xlfn.FORMULATEXT(D14)</f>
        <v>=SUM(B6:B7)-SUM(D11:D13)</v>
      </c>
      <c r="D14" s="1">
        <f>SUM(B6:B7)-SUM(D11:D13)</f>
        <v>0</v>
      </c>
      <c r="E14">
        <f>SUM(C6:C7)-SUM(E11:E13)</f>
        <v>0</v>
      </c>
      <c r="F14" t="str">
        <f ca="1">_xlfn.FORMULATEXT(E14)</f>
        <v>=SUM(C6:C7)-SUM(E11:E13)</v>
      </c>
    </row>
    <row r="19" spans="1:3" x14ac:dyDescent="0.2">
      <c r="A19" t="s">
        <v>10</v>
      </c>
      <c r="B19" s="1">
        <f>SUMPRODUCT(B4:C5,B6:C7)+SUMPRODUCT(B11:C13,D11:E13)</f>
        <v>730000</v>
      </c>
      <c r="C19" t="str">
        <f ca="1">_xlfn.FORMULATEXT(B19)</f>
        <v>=SUMPRODUCT(B4:C5,B6:C7)+SUMPRODUCT(B11:C13,D11:E13)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972E-676F-934E-B8BC-05E9F189E501}">
  <dimension ref="A1:J20"/>
  <sheetViews>
    <sheetView zoomScaleNormal="167" workbookViewId="0">
      <selection sqref="A1:XFD1048576"/>
    </sheetView>
  </sheetViews>
  <sheetFormatPr baseColWidth="10" defaultColWidth="8.83203125" defaultRowHeight="15" x14ac:dyDescent="0.2"/>
  <cols>
    <col min="1" max="1" width="27.5" bestFit="1" customWidth="1"/>
    <col min="2" max="2" width="18.83203125" bestFit="1" customWidth="1"/>
    <col min="3" max="3" width="23.33203125" customWidth="1"/>
    <col min="4" max="4" width="23.6640625" bestFit="1" customWidth="1"/>
    <col min="5" max="5" width="17.1640625" bestFit="1" customWidth="1"/>
    <col min="6" max="6" width="22.5" bestFit="1" customWidth="1"/>
    <col min="7" max="7" width="17.1640625" customWidth="1"/>
    <col min="8" max="8" width="22.5" bestFit="1" customWidth="1"/>
    <col min="9" max="9" width="13.5" bestFit="1" customWidth="1"/>
    <col min="10" max="10" width="20.83203125" bestFit="1" customWidth="1"/>
  </cols>
  <sheetData>
    <row r="1" spans="1:10" x14ac:dyDescent="0.2">
      <c r="A1" t="s">
        <v>0</v>
      </c>
    </row>
    <row r="2" spans="1:10" x14ac:dyDescent="0.2">
      <c r="B2" t="s">
        <v>15</v>
      </c>
      <c r="C2" t="s">
        <v>16</v>
      </c>
      <c r="D2" t="s">
        <v>17</v>
      </c>
      <c r="E2" t="s">
        <v>11</v>
      </c>
      <c r="F2" t="s">
        <v>12</v>
      </c>
    </row>
    <row r="4" spans="1:10" x14ac:dyDescent="0.2">
      <c r="A4" t="s">
        <v>1</v>
      </c>
      <c r="B4" s="2">
        <v>0</v>
      </c>
      <c r="C4" s="2">
        <v>-5</v>
      </c>
      <c r="D4" s="2">
        <v>-5</v>
      </c>
    </row>
    <row r="5" spans="1:10" x14ac:dyDescent="0.2">
      <c r="A5" t="s">
        <v>2</v>
      </c>
      <c r="B5" s="2">
        <v>-4</v>
      </c>
      <c r="C5" s="2">
        <v>-2</v>
      </c>
      <c r="D5" s="2">
        <v>-2</v>
      </c>
    </row>
    <row r="6" spans="1:10" x14ac:dyDescent="0.2">
      <c r="A6" t="s">
        <v>3</v>
      </c>
      <c r="B6" s="3">
        <v>70000</v>
      </c>
      <c r="C6" s="2">
        <v>40000</v>
      </c>
      <c r="D6" s="2">
        <v>90000</v>
      </c>
      <c r="E6">
        <v>200000</v>
      </c>
      <c r="F6" s="1">
        <f>E6-SUM(B6:D6)</f>
        <v>0</v>
      </c>
      <c r="G6" s="1"/>
    </row>
    <row r="7" spans="1:10" x14ac:dyDescent="0.2">
      <c r="A7" t="s">
        <v>4</v>
      </c>
      <c r="B7" s="2">
        <v>0</v>
      </c>
      <c r="C7" s="3">
        <v>60000</v>
      </c>
      <c r="D7" s="3">
        <v>0</v>
      </c>
      <c r="E7">
        <v>60000</v>
      </c>
      <c r="F7">
        <f>E7-SUM(B7:D7)</f>
        <v>0</v>
      </c>
      <c r="G7" t="str">
        <f ca="1">_xlfn.FORMULATEXT(F7)</f>
        <v>=E7-SUM(B7:D7)</v>
      </c>
    </row>
    <row r="10" spans="1:10" x14ac:dyDescent="0.2">
      <c r="B10" t="s">
        <v>5</v>
      </c>
      <c r="C10" t="s">
        <v>6</v>
      </c>
      <c r="D10" t="s">
        <v>19</v>
      </c>
      <c r="E10" t="s">
        <v>15</v>
      </c>
      <c r="F10" t="s">
        <v>16</v>
      </c>
      <c r="G10" t="s">
        <v>20</v>
      </c>
      <c r="H10" t="s">
        <v>13</v>
      </c>
      <c r="I10" t="s">
        <v>14</v>
      </c>
    </row>
    <row r="11" spans="1:10" x14ac:dyDescent="0.2">
      <c r="A11" t="s">
        <v>7</v>
      </c>
      <c r="B11" s="2">
        <v>7</v>
      </c>
      <c r="C11" s="2">
        <v>8</v>
      </c>
      <c r="D11" s="2">
        <v>10</v>
      </c>
      <c r="E11" s="1">
        <v>70000</v>
      </c>
      <c r="F11">
        <v>0</v>
      </c>
      <c r="G11" s="2">
        <v>0</v>
      </c>
      <c r="H11">
        <v>50000</v>
      </c>
      <c r="I11" s="1">
        <f>SUM(E11:G11)-H11</f>
        <v>20000</v>
      </c>
      <c r="J11" t="str">
        <f ca="1">_xlfn.FORMULATEXT(I11)</f>
        <v>=SUM(E11:G11)-H11</v>
      </c>
    </row>
    <row r="12" spans="1:10" x14ac:dyDescent="0.2">
      <c r="A12" t="s">
        <v>8</v>
      </c>
      <c r="B12" s="2">
        <v>4</v>
      </c>
      <c r="C12" s="2">
        <v>10</v>
      </c>
      <c r="D12" s="2">
        <v>10</v>
      </c>
      <c r="E12">
        <v>0</v>
      </c>
      <c r="F12">
        <v>100000</v>
      </c>
      <c r="G12" s="2">
        <v>0</v>
      </c>
      <c r="H12">
        <v>100000</v>
      </c>
      <c r="I12" s="1">
        <f>SUM(E12:G12)-H12</f>
        <v>0</v>
      </c>
      <c r="J12" s="1" t="str">
        <f ca="1">_xlfn.FORMULATEXT(I12)</f>
        <v>=SUM(E12:G12)-H12</v>
      </c>
    </row>
    <row r="13" spans="1:10" x14ac:dyDescent="0.2">
      <c r="A13" t="s">
        <v>9</v>
      </c>
      <c r="B13" s="2">
        <v>2</v>
      </c>
      <c r="C13" s="2">
        <v>4</v>
      </c>
      <c r="D13" s="2">
        <v>10</v>
      </c>
      <c r="E13">
        <v>0</v>
      </c>
      <c r="F13">
        <v>0</v>
      </c>
      <c r="G13" s="2">
        <v>50000</v>
      </c>
      <c r="H13">
        <v>50000</v>
      </c>
      <c r="I13">
        <f>SUM(E13:G13)-H13</f>
        <v>0</v>
      </c>
      <c r="J13" t="str">
        <f ca="1">_xlfn.FORMULATEXT(I13)</f>
        <v>=SUM(E13:G13)-H13</v>
      </c>
    </row>
    <row r="14" spans="1:10" x14ac:dyDescent="0.2">
      <c r="A14" t="s">
        <v>18</v>
      </c>
      <c r="B14" s="2">
        <v>2</v>
      </c>
      <c r="C14" s="2">
        <v>4</v>
      </c>
      <c r="D14" s="2">
        <v>10</v>
      </c>
      <c r="E14" s="2">
        <v>0</v>
      </c>
      <c r="F14" s="2">
        <v>0</v>
      </c>
      <c r="G14" s="2">
        <v>40000</v>
      </c>
      <c r="H14">
        <v>40000</v>
      </c>
      <c r="I14">
        <f>SUM(E14:G14)-H14</f>
        <v>0</v>
      </c>
      <c r="J14" t="str">
        <f ca="1">_xlfn.FORMULATEXT(I14)</f>
        <v>=SUM(E14:G14)-H14</v>
      </c>
    </row>
    <row r="15" spans="1:10" x14ac:dyDescent="0.2">
      <c r="D15" t="str">
        <f ca="1">_xlfn.FORMULATEXT(E15)</f>
        <v>=SUM(B6:B7)-SUM(E11:E14)</v>
      </c>
      <c r="E15" s="1">
        <f>SUM(B6:B7)-SUM(E11:E14)</f>
        <v>0</v>
      </c>
      <c r="F15">
        <f>SUM(C6:C7)-SUM(F11:F14)</f>
        <v>0</v>
      </c>
      <c r="G15">
        <f>SUM(D6:D7)-SUM(G11:G14)</f>
        <v>0</v>
      </c>
    </row>
    <row r="16" spans="1:10" x14ac:dyDescent="0.2">
      <c r="F16" t="str">
        <f ca="1">_xlfn.FORMULATEXT(F15)</f>
        <v>=SUM(C6:C7)-SUM(F11:F14)</v>
      </c>
      <c r="G16" t="str">
        <f ca="1">_xlfn.FORMULATEXT(G15)</f>
        <v>=SUM(D6:D7)-SUM(G11:G14)</v>
      </c>
    </row>
    <row r="20" spans="1:3" x14ac:dyDescent="0.2">
      <c r="A20" t="s">
        <v>10</v>
      </c>
      <c r="B20" s="1">
        <f>SUMPRODUCT(B4:D5,B6:D7)+SUMPRODUCT(B11:D14,E11:G14)</f>
        <v>1620000</v>
      </c>
      <c r="C20" t="str">
        <f ca="1">_xlfn.FORMULATEXT(B20)</f>
        <v>=SUMPRODUCT(B4:D5,B6:D7)+SUMPRODUCT(B11:D14,E11:G14)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A33E-3A21-EA47-BF50-0875FC4A4903}">
  <dimension ref="A1:J20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27.5" bestFit="1" customWidth="1"/>
    <col min="2" max="2" width="18.83203125" bestFit="1" customWidth="1"/>
    <col min="3" max="3" width="23.33203125" customWidth="1"/>
    <col min="4" max="4" width="23.6640625" bestFit="1" customWidth="1"/>
    <col min="5" max="5" width="17.1640625" bestFit="1" customWidth="1"/>
    <col min="6" max="6" width="22.5" bestFit="1" customWidth="1"/>
    <col min="7" max="7" width="17.1640625" customWidth="1"/>
    <col min="8" max="8" width="22.5" bestFit="1" customWidth="1"/>
    <col min="9" max="9" width="13.5" bestFit="1" customWidth="1"/>
    <col min="10" max="10" width="20.83203125" bestFit="1" customWidth="1"/>
  </cols>
  <sheetData>
    <row r="1" spans="1:10" x14ac:dyDescent="0.2">
      <c r="A1" t="s">
        <v>0</v>
      </c>
    </row>
    <row r="2" spans="1:10" x14ac:dyDescent="0.2">
      <c r="B2" t="s">
        <v>15</v>
      </c>
      <c r="C2" t="s">
        <v>16</v>
      </c>
      <c r="D2" t="s">
        <v>17</v>
      </c>
      <c r="E2" t="s">
        <v>11</v>
      </c>
      <c r="F2" t="s">
        <v>12</v>
      </c>
    </row>
    <row r="4" spans="1:10" x14ac:dyDescent="0.2">
      <c r="A4" t="s">
        <v>1</v>
      </c>
      <c r="B4" s="2">
        <v>0</v>
      </c>
      <c r="C4" s="2">
        <v>-5</v>
      </c>
      <c r="D4" s="2">
        <v>-5</v>
      </c>
    </row>
    <row r="5" spans="1:10" x14ac:dyDescent="0.2">
      <c r="A5" t="s">
        <v>2</v>
      </c>
      <c r="B5" s="2">
        <v>-4</v>
      </c>
      <c r="C5" s="2">
        <v>-2</v>
      </c>
      <c r="D5" s="2">
        <v>-2</v>
      </c>
    </row>
    <row r="6" spans="1:10" x14ac:dyDescent="0.2">
      <c r="A6" t="s">
        <v>3</v>
      </c>
      <c r="B6" s="3">
        <v>70000</v>
      </c>
      <c r="C6" s="2">
        <v>40000</v>
      </c>
      <c r="D6" s="2">
        <v>90000</v>
      </c>
      <c r="E6">
        <v>200000</v>
      </c>
      <c r="F6" s="1">
        <f>E6-SUM(B6:D6)</f>
        <v>0</v>
      </c>
      <c r="G6" s="1"/>
    </row>
    <row r="7" spans="1:10" x14ac:dyDescent="0.2">
      <c r="A7" t="s">
        <v>4</v>
      </c>
      <c r="B7" s="2">
        <v>0</v>
      </c>
      <c r="C7" s="3">
        <v>60000</v>
      </c>
      <c r="D7" s="3">
        <v>0</v>
      </c>
      <c r="E7">
        <v>60000</v>
      </c>
      <c r="F7">
        <f>E7-SUM(B7:D7)</f>
        <v>0</v>
      </c>
      <c r="G7" t="str">
        <f ca="1">_xlfn.FORMULATEXT(F7)</f>
        <v>=E7-SUM(B7:D7)</v>
      </c>
    </row>
    <row r="10" spans="1:10" x14ac:dyDescent="0.2">
      <c r="B10" t="s">
        <v>5</v>
      </c>
      <c r="C10" t="s">
        <v>6</v>
      </c>
      <c r="D10" t="s">
        <v>19</v>
      </c>
      <c r="E10" t="s">
        <v>15</v>
      </c>
      <c r="F10" t="s">
        <v>16</v>
      </c>
      <c r="G10" t="s">
        <v>20</v>
      </c>
      <c r="H10" t="s">
        <v>13</v>
      </c>
      <c r="I10" t="s">
        <v>14</v>
      </c>
    </row>
    <row r="11" spans="1:10" x14ac:dyDescent="0.2">
      <c r="A11" t="s">
        <v>7</v>
      </c>
      <c r="B11" s="2">
        <v>7</v>
      </c>
      <c r="C11" s="2">
        <v>8</v>
      </c>
      <c r="D11" s="2">
        <v>10</v>
      </c>
      <c r="E11" s="1">
        <v>70000</v>
      </c>
      <c r="F11">
        <v>0</v>
      </c>
      <c r="G11" s="2">
        <v>0</v>
      </c>
      <c r="H11">
        <v>50000</v>
      </c>
      <c r="I11" s="1">
        <f>SUM(E11:G11)-H11</f>
        <v>20000</v>
      </c>
      <c r="J11" t="str">
        <f ca="1">_xlfn.FORMULATEXT(I11)</f>
        <v>=SUM(E11:G11)-H11</v>
      </c>
    </row>
    <row r="12" spans="1:10" x14ac:dyDescent="0.2">
      <c r="A12" t="s">
        <v>8</v>
      </c>
      <c r="B12" s="2">
        <v>4</v>
      </c>
      <c r="C12" s="2">
        <v>10</v>
      </c>
      <c r="D12" s="2">
        <v>10</v>
      </c>
      <c r="E12">
        <v>0</v>
      </c>
      <c r="F12">
        <v>100000</v>
      </c>
      <c r="G12" s="2">
        <v>0</v>
      </c>
      <c r="H12">
        <v>100000</v>
      </c>
      <c r="I12" s="1">
        <f>SUM(E12:G12)-H12</f>
        <v>0</v>
      </c>
      <c r="J12" s="1" t="str">
        <f ca="1">_xlfn.FORMULATEXT(I12)</f>
        <v>=SUM(E12:G12)-H12</v>
      </c>
    </row>
    <row r="13" spans="1:10" x14ac:dyDescent="0.2">
      <c r="A13" t="s">
        <v>9</v>
      </c>
      <c r="B13" s="2">
        <v>2</v>
      </c>
      <c r="C13" s="2">
        <v>4</v>
      </c>
      <c r="D13" s="2">
        <v>10</v>
      </c>
      <c r="E13">
        <v>0</v>
      </c>
      <c r="F13">
        <v>0</v>
      </c>
      <c r="G13" s="2">
        <v>50000</v>
      </c>
      <c r="H13">
        <v>50000</v>
      </c>
      <c r="I13">
        <f>SUM(E13:G13)-H13</f>
        <v>0</v>
      </c>
      <c r="J13" t="str">
        <f ca="1">_xlfn.FORMULATEXT(I13)</f>
        <v>=SUM(E13:G13)-H13</v>
      </c>
    </row>
    <row r="14" spans="1:10" x14ac:dyDescent="0.2">
      <c r="A14" t="s">
        <v>18</v>
      </c>
      <c r="B14" s="2">
        <v>2</v>
      </c>
      <c r="C14" s="2">
        <v>4</v>
      </c>
      <c r="D14" s="2">
        <v>10</v>
      </c>
      <c r="E14" s="2">
        <v>0</v>
      </c>
      <c r="F14" s="2">
        <v>0</v>
      </c>
      <c r="G14" s="2">
        <v>40000</v>
      </c>
      <c r="H14">
        <v>40000</v>
      </c>
      <c r="I14">
        <f>SUM(E14:G14)-H14</f>
        <v>0</v>
      </c>
      <c r="J14" t="str">
        <f ca="1">_xlfn.FORMULATEXT(I14)</f>
        <v>=SUM(E14:G14)-H14</v>
      </c>
    </row>
    <row r="15" spans="1:10" x14ac:dyDescent="0.2">
      <c r="D15" t="str">
        <f ca="1">_xlfn.FORMULATEXT(E15)</f>
        <v>=SUM(B6:B7)-SUM(E11:E14)</v>
      </c>
      <c r="E15" s="1">
        <f>SUM(B6:B7)-SUM(E11:E14)</f>
        <v>0</v>
      </c>
      <c r="F15">
        <f>SUM(C6:C7)-SUM(F11:F14)</f>
        <v>0</v>
      </c>
      <c r="G15">
        <f>SUM(D6:D7)-SUM(G11:G14)</f>
        <v>0</v>
      </c>
    </row>
    <row r="16" spans="1:10" x14ac:dyDescent="0.2">
      <c r="F16" t="str">
        <f ca="1">_xlfn.FORMULATEXT(F15)</f>
        <v>=SUM(C6:C7)-SUM(F11:F14)</v>
      </c>
      <c r="G16" t="str">
        <f ca="1">_xlfn.FORMULATEXT(G15)</f>
        <v>=SUM(D6:D7)-SUM(G11:G14)</v>
      </c>
    </row>
    <row r="20" spans="1:3" x14ac:dyDescent="0.2">
      <c r="A20" t="s">
        <v>10</v>
      </c>
      <c r="B20" s="1">
        <f>SUMPRODUCT(B4:D5,B6:D7)+SUMPRODUCT(B11:D14,E11:G14)</f>
        <v>1620000</v>
      </c>
      <c r="C20" t="str">
        <f ca="1">_xlfn.FORMULATEXT(B20)</f>
        <v>=SUMPRODUCT(B4:D5,B6:D7)+SUMPRODUCT(B11:D14,E11:G14)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Bhardwaj, Prahlad Narayan</cp:lastModifiedBy>
  <dcterms:created xsi:type="dcterms:W3CDTF">2025-01-29T17:18:38Z</dcterms:created>
  <dcterms:modified xsi:type="dcterms:W3CDTF">2025-01-29T21:00:56Z</dcterms:modified>
</cp:coreProperties>
</file>